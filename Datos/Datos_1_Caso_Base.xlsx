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gust\Desktop\Datos\"/>
    </mc:Choice>
  </mc:AlternateContent>
  <xr:revisionPtr revIDLastSave="0" documentId="13_ncr:1_{79B54888-D3E5-4148-BD04-93DC5FF9DB4C}" xr6:coauthVersionLast="47" xr6:coauthVersionMax="47" xr10:uidLastSave="{00000000-0000-0000-0000-000000000000}"/>
  <bookViews>
    <workbookView xWindow="-108" yWindow="-108" windowWidth="23256" windowHeight="12456" xr2:uid="{A65502D6-A3C7-4BB4-97F1-B167E58F3588}"/>
  </bookViews>
  <sheets>
    <sheet name="Resumen_Historico_Acumulad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8" i="1" l="1"/>
  <c r="N65" i="1"/>
  <c r="M65" i="1"/>
  <c r="M66" i="1"/>
  <c r="N66" i="1"/>
  <c r="D78" i="1"/>
</calcChain>
</file>

<file path=xl/sharedStrings.xml><?xml version="1.0" encoding="utf-8"?>
<sst xmlns="http://schemas.openxmlformats.org/spreadsheetml/2006/main" count="14" uniqueCount="14">
  <si>
    <t>Fecha</t>
  </si>
  <si>
    <t>Hora_Corte</t>
  </si>
  <si>
    <t>Realizadas_Hoy</t>
  </si>
  <si>
    <t>Canceladas_Hoy</t>
  </si>
  <si>
    <t>Camas_Ocupadas_Fin_Dia</t>
  </si>
  <si>
    <t>UCI_Ocupadas_Fin_Dia</t>
  </si>
  <si>
    <t>Acumulado_Realizadas</t>
  </si>
  <si>
    <t>Acumulado_Canceladas_Definitivas</t>
  </si>
  <si>
    <t>Operaciones_En_Sistema</t>
  </si>
  <si>
    <t>Restantes_Lista_Espera_Global</t>
  </si>
  <si>
    <t>Operaciones Diarias Caso Base</t>
  </si>
  <si>
    <t>Operaciones Diarias MIP</t>
  </si>
  <si>
    <t>Ocupación de camas MIP</t>
  </si>
  <si>
    <t>Ocupación de camas Caso 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</si>
</sst>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20" fontId="0" fillId="0" borderId="0" xfId="0" applyNumberFormat="1"/>
    <xf numFmtId="0" fontId="13" fillId="33" borderId="10" xfId="0" applyFont="1" applyFill="1" applyBorder="1"/>
    <xf numFmtId="0" fontId="0" fillId="0" borderId="10" xfId="0" applyBorder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4">
    <dxf>
      <numFmt numFmtId="19" formatCode="dd/mm/yyyy"/>
    </dxf>
    <dxf>
      <numFmt numFmtId="25" formatCode="h:mm"/>
    </dxf>
    <dxf>
      <numFmt numFmtId="25" formatCode="h:mm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Operaciones</a:t>
            </a:r>
            <a:r>
              <a:rPr lang="es-CL" baseline="0"/>
              <a:t> diarias realizadas</a:t>
            </a:r>
            <a:endParaRPr lang="es-C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Resumen_Historico_Acumulado!$M$1</c:f>
              <c:strCache>
                <c:ptCount val="1"/>
                <c:pt idx="0">
                  <c:v>Operaciones Diarias MIP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Resumen_Historico_Acumulado!$M$2:$M$64</c:f>
              <c:numCache>
                <c:formatCode>General</c:formatCode>
                <c:ptCount val="63"/>
                <c:pt idx="0">
                  <c:v>59</c:v>
                </c:pt>
                <c:pt idx="1">
                  <c:v>35</c:v>
                </c:pt>
                <c:pt idx="2">
                  <c:v>14</c:v>
                </c:pt>
                <c:pt idx="3">
                  <c:v>25</c:v>
                </c:pt>
                <c:pt idx="4">
                  <c:v>19</c:v>
                </c:pt>
                <c:pt idx="5">
                  <c:v>32</c:v>
                </c:pt>
                <c:pt idx="6">
                  <c:v>49</c:v>
                </c:pt>
                <c:pt idx="7">
                  <c:v>23</c:v>
                </c:pt>
                <c:pt idx="8">
                  <c:v>22</c:v>
                </c:pt>
                <c:pt idx="9">
                  <c:v>20</c:v>
                </c:pt>
                <c:pt idx="10">
                  <c:v>29</c:v>
                </c:pt>
                <c:pt idx="11">
                  <c:v>26</c:v>
                </c:pt>
                <c:pt idx="12">
                  <c:v>31</c:v>
                </c:pt>
                <c:pt idx="13">
                  <c:v>47</c:v>
                </c:pt>
                <c:pt idx="14">
                  <c:v>9</c:v>
                </c:pt>
                <c:pt idx="15">
                  <c:v>11</c:v>
                </c:pt>
                <c:pt idx="16">
                  <c:v>20</c:v>
                </c:pt>
                <c:pt idx="17">
                  <c:v>25</c:v>
                </c:pt>
                <c:pt idx="18">
                  <c:v>30</c:v>
                </c:pt>
                <c:pt idx="19">
                  <c:v>29</c:v>
                </c:pt>
                <c:pt idx="20">
                  <c:v>43</c:v>
                </c:pt>
                <c:pt idx="21">
                  <c:v>8</c:v>
                </c:pt>
                <c:pt idx="22">
                  <c:v>13</c:v>
                </c:pt>
                <c:pt idx="23">
                  <c:v>21</c:v>
                </c:pt>
                <c:pt idx="24">
                  <c:v>23</c:v>
                </c:pt>
                <c:pt idx="25">
                  <c:v>27</c:v>
                </c:pt>
                <c:pt idx="26">
                  <c:v>29</c:v>
                </c:pt>
                <c:pt idx="27">
                  <c:v>45</c:v>
                </c:pt>
                <c:pt idx="28">
                  <c:v>8</c:v>
                </c:pt>
                <c:pt idx="29">
                  <c:v>4</c:v>
                </c:pt>
                <c:pt idx="30">
                  <c:v>15</c:v>
                </c:pt>
                <c:pt idx="31">
                  <c:v>26</c:v>
                </c:pt>
                <c:pt idx="32">
                  <c:v>29</c:v>
                </c:pt>
                <c:pt idx="33">
                  <c:v>23</c:v>
                </c:pt>
                <c:pt idx="34">
                  <c:v>36</c:v>
                </c:pt>
                <c:pt idx="35">
                  <c:v>4</c:v>
                </c:pt>
                <c:pt idx="36">
                  <c:v>8</c:v>
                </c:pt>
                <c:pt idx="37">
                  <c:v>13</c:v>
                </c:pt>
                <c:pt idx="38">
                  <c:v>10</c:v>
                </c:pt>
                <c:pt idx="39">
                  <c:v>19</c:v>
                </c:pt>
                <c:pt idx="40">
                  <c:v>21</c:v>
                </c:pt>
                <c:pt idx="41">
                  <c:v>34</c:v>
                </c:pt>
                <c:pt idx="42">
                  <c:v>3</c:v>
                </c:pt>
                <c:pt idx="43">
                  <c:v>1</c:v>
                </c:pt>
                <c:pt idx="44">
                  <c:v>10</c:v>
                </c:pt>
                <c:pt idx="45">
                  <c:v>13</c:v>
                </c:pt>
                <c:pt idx="46">
                  <c:v>18</c:v>
                </c:pt>
                <c:pt idx="47">
                  <c:v>19</c:v>
                </c:pt>
                <c:pt idx="48">
                  <c:v>20</c:v>
                </c:pt>
                <c:pt idx="49">
                  <c:v>8</c:v>
                </c:pt>
                <c:pt idx="50">
                  <c:v>10</c:v>
                </c:pt>
                <c:pt idx="51">
                  <c:v>16</c:v>
                </c:pt>
                <c:pt idx="52">
                  <c:v>11</c:v>
                </c:pt>
                <c:pt idx="53">
                  <c:v>14</c:v>
                </c:pt>
                <c:pt idx="54">
                  <c:v>16</c:v>
                </c:pt>
                <c:pt idx="55">
                  <c:v>31</c:v>
                </c:pt>
                <c:pt idx="56">
                  <c:v>6</c:v>
                </c:pt>
                <c:pt idx="57">
                  <c:v>7</c:v>
                </c:pt>
                <c:pt idx="58">
                  <c:v>5</c:v>
                </c:pt>
                <c:pt idx="59">
                  <c:v>3</c:v>
                </c:pt>
                <c:pt idx="60">
                  <c:v>4</c:v>
                </c:pt>
                <c:pt idx="61">
                  <c:v>2</c:v>
                </c:pt>
                <c:pt idx="62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36-43E4-A26D-5A95CFB87D1A}"/>
            </c:ext>
          </c:extLst>
        </c:ser>
        <c:ser>
          <c:idx val="1"/>
          <c:order val="1"/>
          <c:tx>
            <c:strRef>
              <c:f>Resumen_Historico_Acumulado!$N$1</c:f>
              <c:strCache>
                <c:ptCount val="1"/>
                <c:pt idx="0">
                  <c:v>Operaciones Diarias Caso Base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Resumen_Historico_Acumulado!$N$2:$N$64</c:f>
              <c:numCache>
                <c:formatCode>General</c:formatCode>
                <c:ptCount val="63"/>
                <c:pt idx="0">
                  <c:v>55</c:v>
                </c:pt>
                <c:pt idx="1">
                  <c:v>36</c:v>
                </c:pt>
                <c:pt idx="2">
                  <c:v>29</c:v>
                </c:pt>
                <c:pt idx="3">
                  <c:v>26</c:v>
                </c:pt>
                <c:pt idx="4">
                  <c:v>28</c:v>
                </c:pt>
                <c:pt idx="5">
                  <c:v>26</c:v>
                </c:pt>
                <c:pt idx="6">
                  <c:v>33</c:v>
                </c:pt>
                <c:pt idx="7">
                  <c:v>31</c:v>
                </c:pt>
                <c:pt idx="8">
                  <c:v>21</c:v>
                </c:pt>
                <c:pt idx="9">
                  <c:v>16</c:v>
                </c:pt>
                <c:pt idx="10">
                  <c:v>20</c:v>
                </c:pt>
                <c:pt idx="11">
                  <c:v>27</c:v>
                </c:pt>
                <c:pt idx="12">
                  <c:v>31</c:v>
                </c:pt>
                <c:pt idx="13">
                  <c:v>16</c:v>
                </c:pt>
                <c:pt idx="14">
                  <c:v>23</c:v>
                </c:pt>
                <c:pt idx="15">
                  <c:v>17</c:v>
                </c:pt>
                <c:pt idx="16">
                  <c:v>21</c:v>
                </c:pt>
                <c:pt idx="17">
                  <c:v>19</c:v>
                </c:pt>
                <c:pt idx="18">
                  <c:v>22</c:v>
                </c:pt>
                <c:pt idx="19">
                  <c:v>27</c:v>
                </c:pt>
                <c:pt idx="20">
                  <c:v>19</c:v>
                </c:pt>
                <c:pt idx="21">
                  <c:v>18</c:v>
                </c:pt>
                <c:pt idx="22">
                  <c:v>24</c:v>
                </c:pt>
                <c:pt idx="23">
                  <c:v>20</c:v>
                </c:pt>
                <c:pt idx="24">
                  <c:v>24</c:v>
                </c:pt>
                <c:pt idx="25">
                  <c:v>23</c:v>
                </c:pt>
                <c:pt idx="26">
                  <c:v>15</c:v>
                </c:pt>
                <c:pt idx="27">
                  <c:v>22</c:v>
                </c:pt>
                <c:pt idx="28">
                  <c:v>26</c:v>
                </c:pt>
                <c:pt idx="29">
                  <c:v>22</c:v>
                </c:pt>
                <c:pt idx="30">
                  <c:v>21</c:v>
                </c:pt>
                <c:pt idx="31">
                  <c:v>15</c:v>
                </c:pt>
                <c:pt idx="32">
                  <c:v>20</c:v>
                </c:pt>
                <c:pt idx="33">
                  <c:v>25</c:v>
                </c:pt>
                <c:pt idx="34">
                  <c:v>24</c:v>
                </c:pt>
                <c:pt idx="35">
                  <c:v>28</c:v>
                </c:pt>
                <c:pt idx="36">
                  <c:v>19</c:v>
                </c:pt>
                <c:pt idx="37">
                  <c:v>20</c:v>
                </c:pt>
                <c:pt idx="38">
                  <c:v>22</c:v>
                </c:pt>
                <c:pt idx="39">
                  <c:v>13</c:v>
                </c:pt>
                <c:pt idx="40">
                  <c:v>19</c:v>
                </c:pt>
                <c:pt idx="41">
                  <c:v>16</c:v>
                </c:pt>
                <c:pt idx="42">
                  <c:v>19</c:v>
                </c:pt>
                <c:pt idx="43">
                  <c:v>18</c:v>
                </c:pt>
                <c:pt idx="44">
                  <c:v>9</c:v>
                </c:pt>
                <c:pt idx="45">
                  <c:v>16</c:v>
                </c:pt>
                <c:pt idx="46">
                  <c:v>21</c:v>
                </c:pt>
                <c:pt idx="47">
                  <c:v>19</c:v>
                </c:pt>
                <c:pt idx="48">
                  <c:v>18</c:v>
                </c:pt>
                <c:pt idx="49">
                  <c:v>26</c:v>
                </c:pt>
                <c:pt idx="50">
                  <c:v>17</c:v>
                </c:pt>
                <c:pt idx="51">
                  <c:v>10</c:v>
                </c:pt>
                <c:pt idx="52">
                  <c:v>15</c:v>
                </c:pt>
                <c:pt idx="53">
                  <c:v>15</c:v>
                </c:pt>
                <c:pt idx="54">
                  <c:v>13</c:v>
                </c:pt>
                <c:pt idx="55">
                  <c:v>12</c:v>
                </c:pt>
                <c:pt idx="56">
                  <c:v>13</c:v>
                </c:pt>
                <c:pt idx="57">
                  <c:v>4</c:v>
                </c:pt>
                <c:pt idx="58">
                  <c:v>1</c:v>
                </c:pt>
                <c:pt idx="59">
                  <c:v>1</c:v>
                </c:pt>
                <c:pt idx="60">
                  <c:v>0</c:v>
                </c:pt>
                <c:pt idx="61">
                  <c:v>2</c:v>
                </c:pt>
                <c:pt idx="6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336-43E4-A26D-5A95CFB87D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53555872"/>
        <c:axId val="1853575552"/>
      </c:lineChart>
      <c:catAx>
        <c:axId val="18535558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853575552"/>
        <c:crosses val="autoZero"/>
        <c:auto val="1"/>
        <c:lblAlgn val="ctr"/>
        <c:lblOffset val="100"/>
        <c:noMultiLvlLbl val="0"/>
      </c:catAx>
      <c:valAx>
        <c:axId val="1853575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853555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Ocupación diaria de camas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Resumen_Historico_Acumulado!$AA$1</c:f>
              <c:strCache>
                <c:ptCount val="1"/>
                <c:pt idx="0">
                  <c:v>Ocupación de camas MIP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Resumen_Historico_Acumulado!$AA$2:$AA$64</c:f>
              <c:numCache>
                <c:formatCode>General</c:formatCode>
                <c:ptCount val="63"/>
                <c:pt idx="0">
                  <c:v>53</c:v>
                </c:pt>
                <c:pt idx="1">
                  <c:v>68</c:v>
                </c:pt>
                <c:pt idx="2">
                  <c:v>60</c:v>
                </c:pt>
                <c:pt idx="3">
                  <c:v>61</c:v>
                </c:pt>
                <c:pt idx="4">
                  <c:v>51</c:v>
                </c:pt>
                <c:pt idx="5">
                  <c:v>58</c:v>
                </c:pt>
                <c:pt idx="6">
                  <c:v>75</c:v>
                </c:pt>
                <c:pt idx="7">
                  <c:v>75</c:v>
                </c:pt>
                <c:pt idx="8">
                  <c:v>74</c:v>
                </c:pt>
                <c:pt idx="9">
                  <c:v>75</c:v>
                </c:pt>
                <c:pt idx="10">
                  <c:v>75</c:v>
                </c:pt>
                <c:pt idx="11">
                  <c:v>74</c:v>
                </c:pt>
                <c:pt idx="12">
                  <c:v>74</c:v>
                </c:pt>
                <c:pt idx="13">
                  <c:v>75</c:v>
                </c:pt>
                <c:pt idx="14">
                  <c:v>75</c:v>
                </c:pt>
                <c:pt idx="15">
                  <c:v>75</c:v>
                </c:pt>
                <c:pt idx="16">
                  <c:v>75</c:v>
                </c:pt>
                <c:pt idx="17">
                  <c:v>75</c:v>
                </c:pt>
                <c:pt idx="18">
                  <c:v>66</c:v>
                </c:pt>
                <c:pt idx="19">
                  <c:v>75</c:v>
                </c:pt>
                <c:pt idx="20">
                  <c:v>75</c:v>
                </c:pt>
                <c:pt idx="21">
                  <c:v>75</c:v>
                </c:pt>
                <c:pt idx="22">
                  <c:v>75</c:v>
                </c:pt>
                <c:pt idx="23">
                  <c:v>75</c:v>
                </c:pt>
                <c:pt idx="24">
                  <c:v>75</c:v>
                </c:pt>
                <c:pt idx="25">
                  <c:v>66</c:v>
                </c:pt>
                <c:pt idx="26">
                  <c:v>75</c:v>
                </c:pt>
                <c:pt idx="27">
                  <c:v>75</c:v>
                </c:pt>
                <c:pt idx="28">
                  <c:v>75</c:v>
                </c:pt>
                <c:pt idx="29">
                  <c:v>75</c:v>
                </c:pt>
                <c:pt idx="30">
                  <c:v>75</c:v>
                </c:pt>
                <c:pt idx="31">
                  <c:v>75</c:v>
                </c:pt>
                <c:pt idx="32">
                  <c:v>69</c:v>
                </c:pt>
                <c:pt idx="33">
                  <c:v>73</c:v>
                </c:pt>
                <c:pt idx="34">
                  <c:v>73</c:v>
                </c:pt>
                <c:pt idx="35">
                  <c:v>73</c:v>
                </c:pt>
                <c:pt idx="36">
                  <c:v>75</c:v>
                </c:pt>
                <c:pt idx="37">
                  <c:v>75</c:v>
                </c:pt>
                <c:pt idx="38">
                  <c:v>75</c:v>
                </c:pt>
                <c:pt idx="39">
                  <c:v>60</c:v>
                </c:pt>
                <c:pt idx="40">
                  <c:v>68</c:v>
                </c:pt>
                <c:pt idx="41">
                  <c:v>74</c:v>
                </c:pt>
                <c:pt idx="42">
                  <c:v>75</c:v>
                </c:pt>
                <c:pt idx="43">
                  <c:v>75</c:v>
                </c:pt>
                <c:pt idx="44">
                  <c:v>75</c:v>
                </c:pt>
                <c:pt idx="45">
                  <c:v>64</c:v>
                </c:pt>
                <c:pt idx="46">
                  <c:v>54</c:v>
                </c:pt>
                <c:pt idx="47">
                  <c:v>61</c:v>
                </c:pt>
                <c:pt idx="48">
                  <c:v>73</c:v>
                </c:pt>
                <c:pt idx="49">
                  <c:v>73</c:v>
                </c:pt>
                <c:pt idx="50">
                  <c:v>75</c:v>
                </c:pt>
                <c:pt idx="51">
                  <c:v>75</c:v>
                </c:pt>
                <c:pt idx="52">
                  <c:v>68</c:v>
                </c:pt>
                <c:pt idx="53">
                  <c:v>70</c:v>
                </c:pt>
                <c:pt idx="54">
                  <c:v>66</c:v>
                </c:pt>
                <c:pt idx="55">
                  <c:v>73</c:v>
                </c:pt>
                <c:pt idx="56">
                  <c:v>75</c:v>
                </c:pt>
                <c:pt idx="57">
                  <c:v>75</c:v>
                </c:pt>
                <c:pt idx="58">
                  <c:v>69</c:v>
                </c:pt>
                <c:pt idx="59">
                  <c:v>60</c:v>
                </c:pt>
                <c:pt idx="60">
                  <c:v>37</c:v>
                </c:pt>
                <c:pt idx="61">
                  <c:v>21</c:v>
                </c:pt>
                <c:pt idx="62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37-4331-AAD5-B8F40403F0A0}"/>
            </c:ext>
          </c:extLst>
        </c:ser>
        <c:ser>
          <c:idx val="1"/>
          <c:order val="1"/>
          <c:tx>
            <c:strRef>
              <c:f>Resumen_Historico_Acumulado!$AB$1</c:f>
              <c:strCache>
                <c:ptCount val="1"/>
                <c:pt idx="0">
                  <c:v>Ocupación de camas Caso Base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Resumen_Historico_Acumulado!$AB$2:$AB$64</c:f>
              <c:numCache>
                <c:formatCode>General</c:formatCode>
                <c:ptCount val="63"/>
                <c:pt idx="0">
                  <c:v>49</c:v>
                </c:pt>
                <c:pt idx="1">
                  <c:v>67</c:v>
                </c:pt>
                <c:pt idx="2">
                  <c:v>71</c:v>
                </c:pt>
                <c:pt idx="3">
                  <c:v>75</c:v>
                </c:pt>
                <c:pt idx="4">
                  <c:v>75</c:v>
                </c:pt>
                <c:pt idx="5">
                  <c:v>75</c:v>
                </c:pt>
                <c:pt idx="6">
                  <c:v>75</c:v>
                </c:pt>
                <c:pt idx="7">
                  <c:v>75</c:v>
                </c:pt>
                <c:pt idx="8">
                  <c:v>75</c:v>
                </c:pt>
                <c:pt idx="9">
                  <c:v>75</c:v>
                </c:pt>
                <c:pt idx="10">
                  <c:v>75</c:v>
                </c:pt>
                <c:pt idx="11">
                  <c:v>73</c:v>
                </c:pt>
                <c:pt idx="12">
                  <c:v>75</c:v>
                </c:pt>
                <c:pt idx="13">
                  <c:v>75</c:v>
                </c:pt>
                <c:pt idx="14">
                  <c:v>75</c:v>
                </c:pt>
                <c:pt idx="15">
                  <c:v>75</c:v>
                </c:pt>
                <c:pt idx="16">
                  <c:v>75</c:v>
                </c:pt>
                <c:pt idx="17">
                  <c:v>75</c:v>
                </c:pt>
                <c:pt idx="18">
                  <c:v>75</c:v>
                </c:pt>
                <c:pt idx="19">
                  <c:v>73</c:v>
                </c:pt>
                <c:pt idx="20">
                  <c:v>74</c:v>
                </c:pt>
                <c:pt idx="21">
                  <c:v>75</c:v>
                </c:pt>
                <c:pt idx="22">
                  <c:v>75</c:v>
                </c:pt>
                <c:pt idx="23">
                  <c:v>75</c:v>
                </c:pt>
                <c:pt idx="24">
                  <c:v>73</c:v>
                </c:pt>
                <c:pt idx="25">
                  <c:v>74</c:v>
                </c:pt>
                <c:pt idx="26">
                  <c:v>75</c:v>
                </c:pt>
                <c:pt idx="27">
                  <c:v>75</c:v>
                </c:pt>
                <c:pt idx="28">
                  <c:v>75</c:v>
                </c:pt>
                <c:pt idx="29">
                  <c:v>75</c:v>
                </c:pt>
                <c:pt idx="30">
                  <c:v>75</c:v>
                </c:pt>
                <c:pt idx="31">
                  <c:v>75</c:v>
                </c:pt>
                <c:pt idx="32">
                  <c:v>75</c:v>
                </c:pt>
                <c:pt idx="33">
                  <c:v>73</c:v>
                </c:pt>
                <c:pt idx="34">
                  <c:v>73</c:v>
                </c:pt>
                <c:pt idx="35">
                  <c:v>75</c:v>
                </c:pt>
                <c:pt idx="36">
                  <c:v>75</c:v>
                </c:pt>
                <c:pt idx="37">
                  <c:v>75</c:v>
                </c:pt>
                <c:pt idx="38">
                  <c:v>73</c:v>
                </c:pt>
                <c:pt idx="39">
                  <c:v>73</c:v>
                </c:pt>
                <c:pt idx="40">
                  <c:v>75</c:v>
                </c:pt>
                <c:pt idx="41">
                  <c:v>75</c:v>
                </c:pt>
                <c:pt idx="42">
                  <c:v>75</c:v>
                </c:pt>
                <c:pt idx="43">
                  <c:v>75</c:v>
                </c:pt>
                <c:pt idx="44">
                  <c:v>75</c:v>
                </c:pt>
                <c:pt idx="45">
                  <c:v>75</c:v>
                </c:pt>
                <c:pt idx="46">
                  <c:v>75</c:v>
                </c:pt>
                <c:pt idx="47">
                  <c:v>73</c:v>
                </c:pt>
                <c:pt idx="48">
                  <c:v>73</c:v>
                </c:pt>
                <c:pt idx="49">
                  <c:v>75</c:v>
                </c:pt>
                <c:pt idx="50">
                  <c:v>75</c:v>
                </c:pt>
                <c:pt idx="51">
                  <c:v>75</c:v>
                </c:pt>
                <c:pt idx="52">
                  <c:v>73</c:v>
                </c:pt>
                <c:pt idx="53">
                  <c:v>67</c:v>
                </c:pt>
                <c:pt idx="54">
                  <c:v>67</c:v>
                </c:pt>
                <c:pt idx="55">
                  <c:v>64</c:v>
                </c:pt>
                <c:pt idx="56">
                  <c:v>67</c:v>
                </c:pt>
                <c:pt idx="57">
                  <c:v>53</c:v>
                </c:pt>
                <c:pt idx="58">
                  <c:v>44</c:v>
                </c:pt>
                <c:pt idx="59">
                  <c:v>32</c:v>
                </c:pt>
                <c:pt idx="60">
                  <c:v>21</c:v>
                </c:pt>
                <c:pt idx="61">
                  <c:v>9</c:v>
                </c:pt>
                <c:pt idx="62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637-4331-AAD5-B8F40403F0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53575072"/>
        <c:axId val="1853577472"/>
      </c:lineChart>
      <c:catAx>
        <c:axId val="18535750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853577472"/>
        <c:crosses val="autoZero"/>
        <c:auto val="1"/>
        <c:lblAlgn val="ctr"/>
        <c:lblOffset val="100"/>
        <c:noMultiLvlLbl val="0"/>
      </c:catAx>
      <c:valAx>
        <c:axId val="1853577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853575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214745</xdr:colOff>
      <xdr:row>3</xdr:row>
      <xdr:rowOff>27710</xdr:rowOff>
    </xdr:from>
    <xdr:to>
      <xdr:col>24</xdr:col>
      <xdr:colOff>277091</xdr:colOff>
      <xdr:row>17</xdr:row>
      <xdr:rowOff>96981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2328E812-2BBC-EF42-F2FD-6A76CEC467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29</xdr:col>
      <xdr:colOff>1638</xdr:colOff>
      <xdr:row>2</xdr:row>
      <xdr:rowOff>10321</xdr:rowOff>
    </xdr:from>
    <xdr:to>
      <xdr:col>37</xdr:col>
      <xdr:colOff>145956</xdr:colOff>
      <xdr:row>16</xdr:row>
      <xdr:rowOff>164582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C2687C3F-9B3F-B754-CEF8-F2D530B74F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F3D511-43EA-4D33-A3FE-A8FF80C3C6D6}" name="Tabla1" displayName="Tabla1" ref="A1:J78" totalsRowCount="1">
  <autoFilter ref="A1:J77" xr:uid="{6CF3D511-43EA-4D33-A3FE-A8FF80C3C6D6}"/>
  <tableColumns count="10">
    <tableColumn id="1" xr3:uid="{B6C56B08-C12D-4419-B022-E48BA9FDA152}" name="Fecha" dataDxfId="3" totalsRowDxfId="0"/>
    <tableColumn id="2" xr3:uid="{035AB1A9-3828-49CA-BF4F-A97329474658}" name="Hora_Corte" dataDxfId="2" totalsRowDxfId="1"/>
    <tableColumn id="3" xr3:uid="{EA22D1F6-F9CA-4FF1-8113-089CBCFD53A2}" name="Realizadas_Hoy" totalsRowFunction="custom">
      <totalsRowFormula>AVERAGE(C2:C77)</totalsRowFormula>
    </tableColumn>
    <tableColumn id="4" xr3:uid="{1AC86E89-F64B-4A79-9BA2-12662DBCB431}" name="Canceladas_Hoy" totalsRowFunction="custom">
      <totalsRowFormula>SUM(Tabla1[Canceladas_Hoy])</totalsRowFormula>
    </tableColumn>
    <tableColumn id="5" xr3:uid="{DF82B86C-A904-4969-B88E-EB3C0B3CD164}" name="Camas_Ocupadas_Fin_Dia"/>
    <tableColumn id="6" xr3:uid="{A480286A-C2AE-4C57-B25D-3042FFB3F0B2}" name="UCI_Ocupadas_Fin_Dia"/>
    <tableColumn id="7" xr3:uid="{6CB74921-2F0D-4700-8242-DA5F19931AE9}" name="Acumulado_Realizadas"/>
    <tableColumn id="8" xr3:uid="{42F250A7-8F8F-41A9-8AA1-827DA342D90F}" name="Acumulado_Canceladas_Definitivas"/>
    <tableColumn id="9" xr3:uid="{DBE693E4-E124-4DAB-B11B-649DEFA4281B}" name="Operaciones_En_Sistema"/>
    <tableColumn id="10" xr3:uid="{7E3ED612-F868-47D4-8A77-A0B4D8627345}" name="Restantes_Lista_Espera_Global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0F798-C19C-4FA6-9EC2-41766996F97B}">
  <dimension ref="A1:AB78"/>
  <sheetViews>
    <sheetView tabSelected="1" zoomScale="67" zoomScaleNormal="99" workbookViewId="0">
      <selection activeCell="C79" sqref="C79"/>
    </sheetView>
  </sheetViews>
  <sheetFormatPr baseColWidth="10" defaultRowHeight="14.4" x14ac:dyDescent="0.3"/>
  <cols>
    <col min="2" max="2" width="12.109375" customWidth="1"/>
    <col min="3" max="3" width="15.44140625" customWidth="1"/>
    <col min="4" max="4" width="16.33203125" customWidth="1"/>
    <col min="5" max="5" width="24.21875" customWidth="1"/>
    <col min="6" max="7" width="21.44140625" customWidth="1"/>
    <col min="8" max="8" width="31.44140625" customWidth="1"/>
    <col min="9" max="9" width="23.21875" customWidth="1"/>
    <col min="10" max="10" width="27.77734375" customWidth="1"/>
  </cols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M1" s="3" t="s">
        <v>11</v>
      </c>
      <c r="N1" s="3" t="s">
        <v>10</v>
      </c>
      <c r="AA1" s="3" t="s">
        <v>12</v>
      </c>
      <c r="AB1" s="3" t="s">
        <v>13</v>
      </c>
    </row>
    <row r="2" spans="1:28" x14ac:dyDescent="0.3">
      <c r="A2" s="1">
        <v>46027</v>
      </c>
      <c r="B2" s="2">
        <v>0.83333333333333337</v>
      </c>
      <c r="C2">
        <v>55</v>
      </c>
      <c r="D2">
        <v>0</v>
      </c>
      <c r="E2">
        <v>49</v>
      </c>
      <c r="F2">
        <v>0</v>
      </c>
      <c r="G2">
        <v>55</v>
      </c>
      <c r="H2">
        <v>0</v>
      </c>
      <c r="I2">
        <v>225</v>
      </c>
      <c r="J2">
        <v>1202</v>
      </c>
      <c r="M2" s="4">
        <v>59</v>
      </c>
      <c r="N2" s="4">
        <v>55</v>
      </c>
      <c r="AA2" s="4">
        <v>53</v>
      </c>
      <c r="AB2" s="4">
        <v>49</v>
      </c>
    </row>
    <row r="3" spans="1:28" x14ac:dyDescent="0.3">
      <c r="A3" s="1">
        <v>46028</v>
      </c>
      <c r="B3" s="2">
        <v>0.83333333333333337</v>
      </c>
      <c r="C3">
        <v>36</v>
      </c>
      <c r="D3">
        <v>0</v>
      </c>
      <c r="E3">
        <v>67</v>
      </c>
      <c r="F3">
        <v>0</v>
      </c>
      <c r="G3">
        <v>91</v>
      </c>
      <c r="H3">
        <v>0</v>
      </c>
      <c r="I3">
        <v>189</v>
      </c>
      <c r="J3">
        <v>1166</v>
      </c>
      <c r="M3" s="4">
        <v>35</v>
      </c>
      <c r="N3" s="4">
        <v>36</v>
      </c>
      <c r="AA3" s="4">
        <v>68</v>
      </c>
      <c r="AB3" s="4">
        <v>67</v>
      </c>
    </row>
    <row r="4" spans="1:28" x14ac:dyDescent="0.3">
      <c r="A4" s="1">
        <v>46029</v>
      </c>
      <c r="B4" s="2">
        <v>0.83333333333333337</v>
      </c>
      <c r="C4">
        <v>29</v>
      </c>
      <c r="D4">
        <v>0</v>
      </c>
      <c r="E4">
        <v>71</v>
      </c>
      <c r="F4">
        <v>2</v>
      </c>
      <c r="G4">
        <v>120</v>
      </c>
      <c r="H4">
        <v>0</v>
      </c>
      <c r="I4">
        <v>160</v>
      </c>
      <c r="J4">
        <v>1137</v>
      </c>
      <c r="M4" s="4">
        <v>14</v>
      </c>
      <c r="N4" s="4">
        <v>29</v>
      </c>
      <c r="AA4" s="4">
        <v>60</v>
      </c>
      <c r="AB4" s="4">
        <v>71</v>
      </c>
    </row>
    <row r="5" spans="1:28" x14ac:dyDescent="0.3">
      <c r="A5" s="1">
        <v>46030</v>
      </c>
      <c r="B5" s="2">
        <v>0.83333333333333337</v>
      </c>
      <c r="C5">
        <v>26</v>
      </c>
      <c r="D5">
        <v>23</v>
      </c>
      <c r="E5">
        <v>75</v>
      </c>
      <c r="F5">
        <v>2</v>
      </c>
      <c r="G5">
        <v>146</v>
      </c>
      <c r="H5">
        <v>23</v>
      </c>
      <c r="I5">
        <v>111</v>
      </c>
      <c r="J5">
        <v>1088</v>
      </c>
      <c r="M5" s="4">
        <v>25</v>
      </c>
      <c r="N5" s="4">
        <v>26</v>
      </c>
      <c r="AA5" s="4">
        <v>61</v>
      </c>
      <c r="AB5" s="4">
        <v>75</v>
      </c>
    </row>
    <row r="6" spans="1:28" x14ac:dyDescent="0.3">
      <c r="A6" s="1">
        <v>46031</v>
      </c>
      <c r="B6" s="2">
        <v>0.83333333333333337</v>
      </c>
      <c r="C6">
        <v>28</v>
      </c>
      <c r="D6">
        <v>4</v>
      </c>
      <c r="E6">
        <v>75</v>
      </c>
      <c r="F6">
        <v>1</v>
      </c>
      <c r="G6">
        <v>174</v>
      </c>
      <c r="H6">
        <v>27</v>
      </c>
      <c r="I6">
        <v>79</v>
      </c>
      <c r="J6">
        <v>1056</v>
      </c>
      <c r="M6" s="4">
        <v>19</v>
      </c>
      <c r="N6" s="4">
        <v>28</v>
      </c>
      <c r="AA6" s="4">
        <v>51</v>
      </c>
      <c r="AB6" s="4">
        <v>75</v>
      </c>
    </row>
    <row r="7" spans="1:28" x14ac:dyDescent="0.3">
      <c r="A7" s="1">
        <v>46032</v>
      </c>
      <c r="B7" s="2">
        <v>0.83333333333333337</v>
      </c>
      <c r="C7">
        <v>26</v>
      </c>
      <c r="D7">
        <v>6</v>
      </c>
      <c r="E7">
        <v>75</v>
      </c>
      <c r="F7">
        <v>0</v>
      </c>
      <c r="G7">
        <v>200</v>
      </c>
      <c r="H7">
        <v>33</v>
      </c>
      <c r="I7">
        <v>47</v>
      </c>
      <c r="J7">
        <v>1024</v>
      </c>
      <c r="M7" s="4">
        <v>32</v>
      </c>
      <c r="N7" s="4">
        <v>26</v>
      </c>
      <c r="AA7" s="4">
        <v>58</v>
      </c>
      <c r="AB7" s="4">
        <v>75</v>
      </c>
    </row>
    <row r="8" spans="1:28" x14ac:dyDescent="0.3">
      <c r="A8" s="1">
        <v>46033</v>
      </c>
      <c r="B8" s="2">
        <v>0.83333333333333337</v>
      </c>
      <c r="C8">
        <v>33</v>
      </c>
      <c r="D8">
        <v>0</v>
      </c>
      <c r="E8">
        <v>75</v>
      </c>
      <c r="F8">
        <v>2</v>
      </c>
      <c r="G8">
        <v>233</v>
      </c>
      <c r="H8">
        <v>0</v>
      </c>
      <c r="I8">
        <v>166</v>
      </c>
      <c r="J8">
        <v>1024</v>
      </c>
      <c r="M8" s="4">
        <v>49</v>
      </c>
      <c r="N8" s="4">
        <v>33</v>
      </c>
      <c r="AA8" s="4">
        <v>75</v>
      </c>
      <c r="AB8" s="4">
        <v>75</v>
      </c>
    </row>
    <row r="9" spans="1:28" x14ac:dyDescent="0.3">
      <c r="A9" s="1">
        <v>46034</v>
      </c>
      <c r="B9" s="2">
        <v>0.83333333333333337</v>
      </c>
      <c r="C9">
        <v>31</v>
      </c>
      <c r="D9">
        <v>0</v>
      </c>
      <c r="E9">
        <v>75</v>
      </c>
      <c r="F9">
        <v>2</v>
      </c>
      <c r="G9">
        <v>264</v>
      </c>
      <c r="H9">
        <v>0</v>
      </c>
      <c r="I9">
        <v>135</v>
      </c>
      <c r="J9">
        <v>993</v>
      </c>
      <c r="M9" s="4">
        <v>23</v>
      </c>
      <c r="N9" s="4">
        <v>31</v>
      </c>
      <c r="AA9" s="4">
        <v>75</v>
      </c>
      <c r="AB9" s="4">
        <v>75</v>
      </c>
    </row>
    <row r="10" spans="1:28" x14ac:dyDescent="0.3">
      <c r="A10" s="1">
        <v>46035</v>
      </c>
      <c r="B10" s="2">
        <v>0.83333333333333337</v>
      </c>
      <c r="C10">
        <v>21</v>
      </c>
      <c r="D10">
        <v>2</v>
      </c>
      <c r="E10">
        <v>75</v>
      </c>
      <c r="F10">
        <v>0</v>
      </c>
      <c r="G10">
        <v>285</v>
      </c>
      <c r="H10">
        <v>0</v>
      </c>
      <c r="I10">
        <v>112</v>
      </c>
      <c r="J10">
        <v>972</v>
      </c>
      <c r="M10" s="4">
        <v>22</v>
      </c>
      <c r="N10" s="4">
        <v>21</v>
      </c>
      <c r="AA10" s="4">
        <v>74</v>
      </c>
      <c r="AB10" s="4">
        <v>75</v>
      </c>
    </row>
    <row r="11" spans="1:28" x14ac:dyDescent="0.3">
      <c r="A11" s="1">
        <v>46036</v>
      </c>
      <c r="B11" s="2">
        <v>0.83333333333333337</v>
      </c>
      <c r="C11">
        <v>16</v>
      </c>
      <c r="D11">
        <v>0</v>
      </c>
      <c r="E11">
        <v>75</v>
      </c>
      <c r="F11">
        <v>0</v>
      </c>
      <c r="G11">
        <v>301</v>
      </c>
      <c r="H11">
        <v>0</v>
      </c>
      <c r="I11">
        <v>96</v>
      </c>
      <c r="J11">
        <v>956</v>
      </c>
      <c r="M11" s="4">
        <v>20</v>
      </c>
      <c r="N11" s="4">
        <v>16</v>
      </c>
      <c r="AA11" s="4">
        <v>75</v>
      </c>
      <c r="AB11" s="4">
        <v>75</v>
      </c>
    </row>
    <row r="12" spans="1:28" x14ac:dyDescent="0.3">
      <c r="A12" s="1">
        <v>46037</v>
      </c>
      <c r="B12" s="2">
        <v>0.83333333333333337</v>
      </c>
      <c r="C12">
        <v>20</v>
      </c>
      <c r="D12">
        <v>0</v>
      </c>
      <c r="E12">
        <v>75</v>
      </c>
      <c r="F12">
        <v>0</v>
      </c>
      <c r="G12">
        <v>321</v>
      </c>
      <c r="H12">
        <v>0</v>
      </c>
      <c r="I12">
        <v>76</v>
      </c>
      <c r="J12">
        <v>936</v>
      </c>
      <c r="M12" s="4">
        <v>29</v>
      </c>
      <c r="N12" s="4">
        <v>20</v>
      </c>
      <c r="AA12" s="4">
        <v>75</v>
      </c>
      <c r="AB12" s="4">
        <v>75</v>
      </c>
    </row>
    <row r="13" spans="1:28" x14ac:dyDescent="0.3">
      <c r="A13" s="1">
        <v>46038</v>
      </c>
      <c r="B13" s="2">
        <v>0.83333333333333337</v>
      </c>
      <c r="C13">
        <v>27</v>
      </c>
      <c r="D13">
        <v>0</v>
      </c>
      <c r="E13">
        <v>73</v>
      </c>
      <c r="F13">
        <v>2</v>
      </c>
      <c r="G13">
        <v>348</v>
      </c>
      <c r="H13">
        <v>0</v>
      </c>
      <c r="I13">
        <v>49</v>
      </c>
      <c r="J13">
        <v>909</v>
      </c>
      <c r="M13" s="4">
        <v>26</v>
      </c>
      <c r="N13" s="4">
        <v>27</v>
      </c>
      <c r="AA13" s="4">
        <v>74</v>
      </c>
      <c r="AB13" s="4">
        <v>73</v>
      </c>
    </row>
    <row r="14" spans="1:28" x14ac:dyDescent="0.3">
      <c r="A14" s="1">
        <v>46039</v>
      </c>
      <c r="B14" s="2">
        <v>0.83333333333333337</v>
      </c>
      <c r="C14">
        <v>31</v>
      </c>
      <c r="D14">
        <v>0</v>
      </c>
      <c r="E14">
        <v>75</v>
      </c>
      <c r="F14">
        <v>2</v>
      </c>
      <c r="G14">
        <v>379</v>
      </c>
      <c r="H14">
        <v>0</v>
      </c>
      <c r="I14">
        <v>18</v>
      </c>
      <c r="J14">
        <v>878</v>
      </c>
      <c r="M14" s="4">
        <v>31</v>
      </c>
      <c r="N14" s="4">
        <v>31</v>
      </c>
      <c r="AA14" s="4">
        <v>74</v>
      </c>
      <c r="AB14" s="4">
        <v>75</v>
      </c>
    </row>
    <row r="15" spans="1:28" x14ac:dyDescent="0.3">
      <c r="A15" s="1">
        <v>46040</v>
      </c>
      <c r="B15" s="2">
        <v>0.83333333333333337</v>
      </c>
      <c r="C15">
        <v>16</v>
      </c>
      <c r="D15">
        <v>0</v>
      </c>
      <c r="E15">
        <v>75</v>
      </c>
      <c r="F15">
        <v>0</v>
      </c>
      <c r="G15">
        <v>395</v>
      </c>
      <c r="H15">
        <v>0</v>
      </c>
      <c r="I15">
        <v>150</v>
      </c>
      <c r="J15">
        <v>862</v>
      </c>
      <c r="M15" s="4">
        <v>47</v>
      </c>
      <c r="N15" s="4">
        <v>16</v>
      </c>
      <c r="AA15" s="4">
        <v>75</v>
      </c>
      <c r="AB15" s="4">
        <v>75</v>
      </c>
    </row>
    <row r="16" spans="1:28" x14ac:dyDescent="0.3">
      <c r="A16" s="1">
        <v>46041</v>
      </c>
      <c r="B16" s="2">
        <v>0.83333333333333337</v>
      </c>
      <c r="C16">
        <v>23</v>
      </c>
      <c r="D16">
        <v>0</v>
      </c>
      <c r="E16">
        <v>75</v>
      </c>
      <c r="F16">
        <v>2</v>
      </c>
      <c r="G16">
        <v>418</v>
      </c>
      <c r="H16">
        <v>0</v>
      </c>
      <c r="I16">
        <v>127</v>
      </c>
      <c r="J16">
        <v>839</v>
      </c>
      <c r="M16" s="4">
        <v>9</v>
      </c>
      <c r="N16" s="4">
        <v>23</v>
      </c>
      <c r="AA16" s="4">
        <v>75</v>
      </c>
      <c r="AB16" s="4">
        <v>75</v>
      </c>
    </row>
    <row r="17" spans="1:28" x14ac:dyDescent="0.3">
      <c r="A17" s="1">
        <v>46042</v>
      </c>
      <c r="B17" s="2">
        <v>0.83333333333333337</v>
      </c>
      <c r="C17">
        <v>17</v>
      </c>
      <c r="D17">
        <v>0</v>
      </c>
      <c r="E17">
        <v>75</v>
      </c>
      <c r="F17">
        <v>2</v>
      </c>
      <c r="G17">
        <v>435</v>
      </c>
      <c r="H17">
        <v>0</v>
      </c>
      <c r="I17">
        <v>110</v>
      </c>
      <c r="J17">
        <v>822</v>
      </c>
      <c r="M17" s="4">
        <v>11</v>
      </c>
      <c r="N17" s="4">
        <v>17</v>
      </c>
      <c r="AA17" s="4">
        <v>75</v>
      </c>
      <c r="AB17" s="4">
        <v>75</v>
      </c>
    </row>
    <row r="18" spans="1:28" x14ac:dyDescent="0.3">
      <c r="A18" s="1">
        <v>46043</v>
      </c>
      <c r="B18" s="2">
        <v>0.83333333333333337</v>
      </c>
      <c r="C18">
        <v>21</v>
      </c>
      <c r="D18">
        <v>2</v>
      </c>
      <c r="E18">
        <v>75</v>
      </c>
      <c r="F18">
        <v>0</v>
      </c>
      <c r="G18">
        <v>456</v>
      </c>
      <c r="H18">
        <v>2</v>
      </c>
      <c r="I18">
        <v>87</v>
      </c>
      <c r="J18">
        <v>799</v>
      </c>
      <c r="M18" s="4">
        <v>20</v>
      </c>
      <c r="N18" s="4">
        <v>21</v>
      </c>
      <c r="AA18" s="4">
        <v>75</v>
      </c>
      <c r="AB18" s="4">
        <v>75</v>
      </c>
    </row>
    <row r="19" spans="1:28" x14ac:dyDescent="0.3">
      <c r="A19" s="1">
        <v>46044</v>
      </c>
      <c r="B19" s="2">
        <v>0.83333333333333337</v>
      </c>
      <c r="C19">
        <v>19</v>
      </c>
      <c r="D19">
        <v>0</v>
      </c>
      <c r="E19">
        <v>75</v>
      </c>
      <c r="F19">
        <v>0</v>
      </c>
      <c r="G19">
        <v>475</v>
      </c>
      <c r="H19">
        <v>2</v>
      </c>
      <c r="I19">
        <v>68</v>
      </c>
      <c r="J19">
        <v>780</v>
      </c>
      <c r="M19" s="4">
        <v>25</v>
      </c>
      <c r="N19" s="4">
        <v>19</v>
      </c>
      <c r="AA19" s="4">
        <v>75</v>
      </c>
      <c r="AB19" s="4">
        <v>75</v>
      </c>
    </row>
    <row r="20" spans="1:28" x14ac:dyDescent="0.3">
      <c r="A20" s="1">
        <v>46045</v>
      </c>
      <c r="B20" s="2">
        <v>0.83333333333333337</v>
      </c>
      <c r="C20">
        <v>22</v>
      </c>
      <c r="D20">
        <v>0</v>
      </c>
      <c r="E20">
        <v>75</v>
      </c>
      <c r="F20">
        <v>0</v>
      </c>
      <c r="G20">
        <v>497</v>
      </c>
      <c r="H20">
        <v>2</v>
      </c>
      <c r="I20">
        <v>46</v>
      </c>
      <c r="J20">
        <v>758</v>
      </c>
      <c r="M20" s="4">
        <v>30</v>
      </c>
      <c r="N20" s="4">
        <v>22</v>
      </c>
      <c r="AA20" s="4">
        <v>66</v>
      </c>
      <c r="AB20" s="4">
        <v>75</v>
      </c>
    </row>
    <row r="21" spans="1:28" x14ac:dyDescent="0.3">
      <c r="A21" s="1">
        <v>46046</v>
      </c>
      <c r="B21" s="2">
        <v>0.83333333333333337</v>
      </c>
      <c r="C21">
        <v>27</v>
      </c>
      <c r="D21">
        <v>0</v>
      </c>
      <c r="E21">
        <v>73</v>
      </c>
      <c r="F21">
        <v>2</v>
      </c>
      <c r="G21">
        <v>524</v>
      </c>
      <c r="H21">
        <v>2</v>
      </c>
      <c r="I21">
        <v>19</v>
      </c>
      <c r="J21">
        <v>731</v>
      </c>
      <c r="M21" s="4">
        <v>29</v>
      </c>
      <c r="N21" s="4">
        <v>27</v>
      </c>
      <c r="AA21" s="4">
        <v>75</v>
      </c>
      <c r="AB21" s="4">
        <v>73</v>
      </c>
    </row>
    <row r="22" spans="1:28" x14ac:dyDescent="0.3">
      <c r="A22" s="1">
        <v>46047</v>
      </c>
      <c r="B22" s="2">
        <v>0.83333333333333337</v>
      </c>
      <c r="C22">
        <v>19</v>
      </c>
      <c r="D22">
        <v>0</v>
      </c>
      <c r="E22">
        <v>74</v>
      </c>
      <c r="F22">
        <v>2</v>
      </c>
      <c r="G22">
        <v>543</v>
      </c>
      <c r="H22">
        <v>0</v>
      </c>
      <c r="I22">
        <v>150</v>
      </c>
      <c r="J22">
        <v>714</v>
      </c>
      <c r="M22" s="4">
        <v>43</v>
      </c>
      <c r="N22" s="4">
        <v>19</v>
      </c>
      <c r="AA22" s="4">
        <v>75</v>
      </c>
      <c r="AB22" s="4">
        <v>74</v>
      </c>
    </row>
    <row r="23" spans="1:28" x14ac:dyDescent="0.3">
      <c r="A23" s="1">
        <v>46048</v>
      </c>
      <c r="B23" s="2">
        <v>0.83333333333333337</v>
      </c>
      <c r="C23">
        <v>18</v>
      </c>
      <c r="D23">
        <v>2</v>
      </c>
      <c r="E23">
        <v>75</v>
      </c>
      <c r="F23">
        <v>0</v>
      </c>
      <c r="G23">
        <v>561</v>
      </c>
      <c r="H23">
        <v>2</v>
      </c>
      <c r="I23">
        <v>130</v>
      </c>
      <c r="J23">
        <v>694</v>
      </c>
      <c r="M23" s="4">
        <v>8</v>
      </c>
      <c r="N23" s="4">
        <v>18</v>
      </c>
      <c r="AA23" s="4">
        <v>75</v>
      </c>
      <c r="AB23" s="4">
        <v>75</v>
      </c>
    </row>
    <row r="24" spans="1:28" x14ac:dyDescent="0.3">
      <c r="A24" s="1">
        <v>46049</v>
      </c>
      <c r="B24" s="2">
        <v>0.83333333333333337</v>
      </c>
      <c r="C24">
        <v>24</v>
      </c>
      <c r="D24">
        <v>0</v>
      </c>
      <c r="E24">
        <v>75</v>
      </c>
      <c r="F24">
        <v>0</v>
      </c>
      <c r="G24">
        <v>585</v>
      </c>
      <c r="H24">
        <v>2</v>
      </c>
      <c r="I24">
        <v>106</v>
      </c>
      <c r="J24">
        <v>670</v>
      </c>
      <c r="M24" s="4">
        <v>13</v>
      </c>
      <c r="N24" s="4">
        <v>24</v>
      </c>
      <c r="AA24" s="4">
        <v>75</v>
      </c>
      <c r="AB24" s="4">
        <v>75</v>
      </c>
    </row>
    <row r="25" spans="1:28" x14ac:dyDescent="0.3">
      <c r="A25" s="1">
        <v>46050</v>
      </c>
      <c r="B25" s="2">
        <v>0.83333333333333337</v>
      </c>
      <c r="C25">
        <v>20</v>
      </c>
      <c r="D25">
        <v>0</v>
      </c>
      <c r="E25">
        <v>75</v>
      </c>
      <c r="F25">
        <v>0</v>
      </c>
      <c r="G25">
        <v>605</v>
      </c>
      <c r="H25">
        <v>2</v>
      </c>
      <c r="I25">
        <v>86</v>
      </c>
      <c r="J25">
        <v>650</v>
      </c>
      <c r="M25" s="4">
        <v>21</v>
      </c>
      <c r="N25" s="4">
        <v>20</v>
      </c>
      <c r="AA25" s="4">
        <v>75</v>
      </c>
      <c r="AB25" s="4">
        <v>75</v>
      </c>
    </row>
    <row r="26" spans="1:28" x14ac:dyDescent="0.3">
      <c r="A26" s="1">
        <v>46051</v>
      </c>
      <c r="B26" s="2">
        <v>0.83333333333333337</v>
      </c>
      <c r="C26">
        <v>24</v>
      </c>
      <c r="D26">
        <v>0</v>
      </c>
      <c r="E26">
        <v>73</v>
      </c>
      <c r="F26">
        <v>2</v>
      </c>
      <c r="G26">
        <v>629</v>
      </c>
      <c r="H26">
        <v>2</v>
      </c>
      <c r="I26">
        <v>62</v>
      </c>
      <c r="J26">
        <v>626</v>
      </c>
      <c r="M26" s="4">
        <v>23</v>
      </c>
      <c r="N26" s="4">
        <v>24</v>
      </c>
      <c r="AA26" s="4">
        <v>75</v>
      </c>
      <c r="AB26" s="4">
        <v>73</v>
      </c>
    </row>
    <row r="27" spans="1:28" x14ac:dyDescent="0.3">
      <c r="A27" s="1">
        <v>46052</v>
      </c>
      <c r="B27" s="2">
        <v>0.83333333333333337</v>
      </c>
      <c r="C27">
        <v>23</v>
      </c>
      <c r="D27">
        <v>0</v>
      </c>
      <c r="E27">
        <v>74</v>
      </c>
      <c r="F27">
        <v>2</v>
      </c>
      <c r="G27">
        <v>652</v>
      </c>
      <c r="H27">
        <v>2</v>
      </c>
      <c r="I27">
        <v>39</v>
      </c>
      <c r="J27">
        <v>603</v>
      </c>
      <c r="M27" s="4">
        <v>27</v>
      </c>
      <c r="N27" s="4">
        <v>23</v>
      </c>
      <c r="AA27" s="4">
        <v>66</v>
      </c>
      <c r="AB27" s="4">
        <v>74</v>
      </c>
    </row>
    <row r="28" spans="1:28" x14ac:dyDescent="0.3">
      <c r="A28" s="1">
        <v>46053</v>
      </c>
      <c r="B28" s="2">
        <v>0.83333333333333337</v>
      </c>
      <c r="C28">
        <v>15</v>
      </c>
      <c r="D28">
        <v>2</v>
      </c>
      <c r="E28">
        <v>75</v>
      </c>
      <c r="F28">
        <v>0</v>
      </c>
      <c r="G28">
        <v>667</v>
      </c>
      <c r="H28">
        <v>4</v>
      </c>
      <c r="I28">
        <v>22</v>
      </c>
      <c r="J28">
        <v>586</v>
      </c>
      <c r="M28" s="4">
        <v>29</v>
      </c>
      <c r="N28" s="4">
        <v>15</v>
      </c>
      <c r="AA28" s="4">
        <v>75</v>
      </c>
      <c r="AB28" s="4">
        <v>75</v>
      </c>
    </row>
    <row r="29" spans="1:28" x14ac:dyDescent="0.3">
      <c r="A29" s="1">
        <v>46054</v>
      </c>
      <c r="B29" s="2">
        <v>0.83333333333333337</v>
      </c>
      <c r="C29">
        <v>22</v>
      </c>
      <c r="D29">
        <v>0</v>
      </c>
      <c r="E29">
        <v>75</v>
      </c>
      <c r="F29">
        <v>0</v>
      </c>
      <c r="G29">
        <v>689</v>
      </c>
      <c r="H29">
        <v>0</v>
      </c>
      <c r="I29">
        <v>155</v>
      </c>
      <c r="J29">
        <v>568</v>
      </c>
      <c r="M29" s="4">
        <v>45</v>
      </c>
      <c r="N29" s="4">
        <v>22</v>
      </c>
      <c r="AA29" s="4">
        <v>75</v>
      </c>
      <c r="AB29" s="4">
        <v>75</v>
      </c>
    </row>
    <row r="30" spans="1:28" x14ac:dyDescent="0.3">
      <c r="A30" s="1">
        <v>46055</v>
      </c>
      <c r="B30" s="2">
        <v>0.83333333333333337</v>
      </c>
      <c r="C30">
        <v>26</v>
      </c>
      <c r="D30">
        <v>0</v>
      </c>
      <c r="E30">
        <v>75</v>
      </c>
      <c r="F30">
        <v>2</v>
      </c>
      <c r="G30">
        <v>715</v>
      </c>
      <c r="H30">
        <v>0</v>
      </c>
      <c r="I30">
        <v>129</v>
      </c>
      <c r="J30">
        <v>542</v>
      </c>
      <c r="M30" s="4">
        <v>8</v>
      </c>
      <c r="N30" s="4">
        <v>26</v>
      </c>
      <c r="AA30" s="4">
        <v>75</v>
      </c>
      <c r="AB30" s="4">
        <v>75</v>
      </c>
    </row>
    <row r="31" spans="1:28" x14ac:dyDescent="0.3">
      <c r="A31" s="1">
        <v>46056</v>
      </c>
      <c r="B31" s="2">
        <v>0.83333333333333337</v>
      </c>
      <c r="C31">
        <v>22</v>
      </c>
      <c r="D31">
        <v>0</v>
      </c>
      <c r="E31">
        <v>75</v>
      </c>
      <c r="F31">
        <v>2</v>
      </c>
      <c r="G31">
        <v>737</v>
      </c>
      <c r="H31">
        <v>0</v>
      </c>
      <c r="I31">
        <v>107</v>
      </c>
      <c r="J31">
        <v>520</v>
      </c>
      <c r="M31" s="4">
        <v>4</v>
      </c>
      <c r="N31" s="4">
        <v>22</v>
      </c>
      <c r="AA31" s="4">
        <v>75</v>
      </c>
      <c r="AB31" s="4">
        <v>75</v>
      </c>
    </row>
    <row r="32" spans="1:28" x14ac:dyDescent="0.3">
      <c r="A32" s="1">
        <v>46057</v>
      </c>
      <c r="B32" s="2">
        <v>0.83333333333333337</v>
      </c>
      <c r="C32">
        <v>21</v>
      </c>
      <c r="D32">
        <v>1</v>
      </c>
      <c r="E32">
        <v>75</v>
      </c>
      <c r="F32">
        <v>1</v>
      </c>
      <c r="G32">
        <v>758</v>
      </c>
      <c r="H32">
        <v>1</v>
      </c>
      <c r="I32">
        <v>85</v>
      </c>
      <c r="J32">
        <v>498</v>
      </c>
      <c r="M32" s="4">
        <v>15</v>
      </c>
      <c r="N32" s="4">
        <v>21</v>
      </c>
      <c r="AA32" s="4">
        <v>75</v>
      </c>
      <c r="AB32" s="4">
        <v>75</v>
      </c>
    </row>
    <row r="33" spans="1:28" x14ac:dyDescent="0.3">
      <c r="A33" s="1">
        <v>46058</v>
      </c>
      <c r="B33" s="2">
        <v>0.83333333333333337</v>
      </c>
      <c r="C33">
        <v>15</v>
      </c>
      <c r="D33">
        <v>1</v>
      </c>
      <c r="E33">
        <v>75</v>
      </c>
      <c r="F33">
        <v>0</v>
      </c>
      <c r="G33">
        <v>773</v>
      </c>
      <c r="H33">
        <v>2</v>
      </c>
      <c r="I33">
        <v>69</v>
      </c>
      <c r="J33">
        <v>482</v>
      </c>
      <c r="M33" s="4">
        <v>26</v>
      </c>
      <c r="N33" s="4">
        <v>15</v>
      </c>
      <c r="AA33" s="4">
        <v>75</v>
      </c>
      <c r="AB33" s="4">
        <v>75</v>
      </c>
    </row>
    <row r="34" spans="1:28" x14ac:dyDescent="0.3">
      <c r="A34" s="1">
        <v>46059</v>
      </c>
      <c r="B34" s="2">
        <v>0.83333333333333337</v>
      </c>
      <c r="C34">
        <v>20</v>
      </c>
      <c r="D34">
        <v>0</v>
      </c>
      <c r="E34">
        <v>75</v>
      </c>
      <c r="F34">
        <v>0</v>
      </c>
      <c r="G34">
        <v>793</v>
      </c>
      <c r="H34">
        <v>2</v>
      </c>
      <c r="I34">
        <v>49</v>
      </c>
      <c r="J34">
        <v>462</v>
      </c>
      <c r="M34" s="4">
        <v>29</v>
      </c>
      <c r="N34" s="4">
        <v>20</v>
      </c>
      <c r="AA34" s="4">
        <v>69</v>
      </c>
      <c r="AB34" s="4">
        <v>75</v>
      </c>
    </row>
    <row r="35" spans="1:28" x14ac:dyDescent="0.3">
      <c r="A35" s="1">
        <v>46060</v>
      </c>
      <c r="B35" s="2">
        <v>0.83333333333333337</v>
      </c>
      <c r="C35">
        <v>25</v>
      </c>
      <c r="D35">
        <v>0</v>
      </c>
      <c r="E35">
        <v>73</v>
      </c>
      <c r="F35">
        <v>2</v>
      </c>
      <c r="G35">
        <v>818</v>
      </c>
      <c r="H35">
        <v>2</v>
      </c>
      <c r="I35">
        <v>24</v>
      </c>
      <c r="J35">
        <v>437</v>
      </c>
      <c r="M35" s="4">
        <v>23</v>
      </c>
      <c r="N35" s="4">
        <v>25</v>
      </c>
      <c r="AA35" s="4">
        <v>73</v>
      </c>
      <c r="AB35" s="4">
        <v>73</v>
      </c>
    </row>
    <row r="36" spans="1:28" x14ac:dyDescent="0.3">
      <c r="A36" s="1">
        <v>46061</v>
      </c>
      <c r="B36" s="2">
        <v>0.83333333333333337</v>
      </c>
      <c r="C36">
        <v>24</v>
      </c>
      <c r="D36">
        <v>0</v>
      </c>
      <c r="E36">
        <v>73</v>
      </c>
      <c r="F36">
        <v>2</v>
      </c>
      <c r="G36">
        <v>842</v>
      </c>
      <c r="H36">
        <v>0</v>
      </c>
      <c r="I36">
        <v>141</v>
      </c>
      <c r="J36">
        <v>415</v>
      </c>
      <c r="M36" s="4">
        <v>36</v>
      </c>
      <c r="N36" s="4">
        <v>24</v>
      </c>
      <c r="AA36" s="4">
        <v>73</v>
      </c>
      <c r="AB36" s="4">
        <v>73</v>
      </c>
    </row>
    <row r="37" spans="1:28" x14ac:dyDescent="0.3">
      <c r="A37" s="1">
        <v>46062</v>
      </c>
      <c r="B37" s="2">
        <v>0.83333333333333337</v>
      </c>
      <c r="C37">
        <v>28</v>
      </c>
      <c r="D37">
        <v>2</v>
      </c>
      <c r="E37">
        <v>75</v>
      </c>
      <c r="F37">
        <v>0</v>
      </c>
      <c r="G37">
        <v>870</v>
      </c>
      <c r="H37">
        <v>2</v>
      </c>
      <c r="I37">
        <v>111</v>
      </c>
      <c r="J37">
        <v>385</v>
      </c>
      <c r="M37" s="4">
        <v>4</v>
      </c>
      <c r="N37" s="4">
        <v>28</v>
      </c>
      <c r="AA37" s="4">
        <v>73</v>
      </c>
      <c r="AB37" s="4">
        <v>75</v>
      </c>
    </row>
    <row r="38" spans="1:28" x14ac:dyDescent="0.3">
      <c r="A38" s="1">
        <v>46063</v>
      </c>
      <c r="B38" s="2">
        <v>0.83333333333333337</v>
      </c>
      <c r="C38">
        <v>19</v>
      </c>
      <c r="D38">
        <v>0</v>
      </c>
      <c r="E38">
        <v>75</v>
      </c>
      <c r="F38">
        <v>0</v>
      </c>
      <c r="G38">
        <v>889</v>
      </c>
      <c r="H38">
        <v>2</v>
      </c>
      <c r="I38">
        <v>92</v>
      </c>
      <c r="J38">
        <v>366</v>
      </c>
      <c r="M38" s="4">
        <v>8</v>
      </c>
      <c r="N38" s="4">
        <v>19</v>
      </c>
      <c r="AA38" s="4">
        <v>75</v>
      </c>
      <c r="AB38" s="4">
        <v>75</v>
      </c>
    </row>
    <row r="39" spans="1:28" x14ac:dyDescent="0.3">
      <c r="A39" s="1">
        <v>46064</v>
      </c>
      <c r="B39" s="2">
        <v>0.83333333333333337</v>
      </c>
      <c r="C39">
        <v>20</v>
      </c>
      <c r="D39">
        <v>0</v>
      </c>
      <c r="E39">
        <v>75</v>
      </c>
      <c r="F39">
        <v>0</v>
      </c>
      <c r="G39">
        <v>909</v>
      </c>
      <c r="H39">
        <v>2</v>
      </c>
      <c r="I39">
        <v>72</v>
      </c>
      <c r="J39">
        <v>346</v>
      </c>
      <c r="M39" s="4">
        <v>13</v>
      </c>
      <c r="N39" s="4">
        <v>20</v>
      </c>
      <c r="AA39" s="4">
        <v>75</v>
      </c>
      <c r="AB39" s="4">
        <v>75</v>
      </c>
    </row>
    <row r="40" spans="1:28" x14ac:dyDescent="0.3">
      <c r="A40" s="1">
        <v>46065</v>
      </c>
      <c r="B40" s="2">
        <v>0.83333333333333337</v>
      </c>
      <c r="C40">
        <v>22</v>
      </c>
      <c r="D40">
        <v>0</v>
      </c>
      <c r="E40">
        <v>73</v>
      </c>
      <c r="F40">
        <v>2</v>
      </c>
      <c r="G40">
        <v>931</v>
      </c>
      <c r="H40">
        <v>2</v>
      </c>
      <c r="I40">
        <v>50</v>
      </c>
      <c r="J40">
        <v>324</v>
      </c>
      <c r="M40" s="4">
        <v>10</v>
      </c>
      <c r="N40" s="4">
        <v>22</v>
      </c>
      <c r="AA40" s="4">
        <v>75</v>
      </c>
      <c r="AB40" s="4">
        <v>73</v>
      </c>
    </row>
    <row r="41" spans="1:28" x14ac:dyDescent="0.3">
      <c r="A41" s="1">
        <v>46066</v>
      </c>
      <c r="B41" s="2">
        <v>0.83333333333333337</v>
      </c>
      <c r="C41">
        <v>13</v>
      </c>
      <c r="D41">
        <v>0</v>
      </c>
      <c r="E41">
        <v>73</v>
      </c>
      <c r="F41">
        <v>2</v>
      </c>
      <c r="G41">
        <v>944</v>
      </c>
      <c r="H41">
        <v>2</v>
      </c>
      <c r="I41">
        <v>37</v>
      </c>
      <c r="J41">
        <v>311</v>
      </c>
      <c r="M41" s="4">
        <v>19</v>
      </c>
      <c r="N41" s="4">
        <v>13</v>
      </c>
      <c r="AA41" s="4">
        <v>60</v>
      </c>
      <c r="AB41" s="4">
        <v>73</v>
      </c>
    </row>
    <row r="42" spans="1:28" x14ac:dyDescent="0.3">
      <c r="A42" s="1">
        <v>46067</v>
      </c>
      <c r="B42" s="2">
        <v>0.83333333333333337</v>
      </c>
      <c r="C42">
        <v>19</v>
      </c>
      <c r="D42">
        <v>0</v>
      </c>
      <c r="E42">
        <v>75</v>
      </c>
      <c r="F42">
        <v>0</v>
      </c>
      <c r="G42">
        <v>963</v>
      </c>
      <c r="H42">
        <v>2</v>
      </c>
      <c r="I42">
        <v>18</v>
      </c>
      <c r="J42">
        <v>292</v>
      </c>
      <c r="M42" s="4">
        <v>21</v>
      </c>
      <c r="N42" s="4">
        <v>19</v>
      </c>
      <c r="AA42" s="4">
        <v>68</v>
      </c>
      <c r="AB42" s="4">
        <v>75</v>
      </c>
    </row>
    <row r="43" spans="1:28" x14ac:dyDescent="0.3">
      <c r="A43" s="1">
        <v>46068</v>
      </c>
      <c r="B43" s="2">
        <v>0.83333333333333337</v>
      </c>
      <c r="C43">
        <v>16</v>
      </c>
      <c r="D43">
        <v>0</v>
      </c>
      <c r="E43">
        <v>75</v>
      </c>
      <c r="F43">
        <v>0</v>
      </c>
      <c r="G43">
        <v>979</v>
      </c>
      <c r="H43">
        <v>0</v>
      </c>
      <c r="I43">
        <v>122</v>
      </c>
      <c r="J43">
        <v>278</v>
      </c>
      <c r="M43" s="4">
        <v>34</v>
      </c>
      <c r="N43" s="4">
        <v>16</v>
      </c>
      <c r="AA43" s="4">
        <v>74</v>
      </c>
      <c r="AB43" s="4">
        <v>75</v>
      </c>
    </row>
    <row r="44" spans="1:28" x14ac:dyDescent="0.3">
      <c r="A44" s="1">
        <v>46069</v>
      </c>
      <c r="B44" s="2">
        <v>0.83333333333333337</v>
      </c>
      <c r="C44">
        <v>19</v>
      </c>
      <c r="D44">
        <v>0</v>
      </c>
      <c r="E44">
        <v>75</v>
      </c>
      <c r="F44">
        <v>2</v>
      </c>
      <c r="G44">
        <v>998</v>
      </c>
      <c r="H44">
        <v>0</v>
      </c>
      <c r="I44">
        <v>103</v>
      </c>
      <c r="J44">
        <v>259</v>
      </c>
      <c r="M44" s="4">
        <v>3</v>
      </c>
      <c r="N44" s="4">
        <v>19</v>
      </c>
      <c r="AA44" s="4">
        <v>75</v>
      </c>
      <c r="AB44" s="4">
        <v>75</v>
      </c>
    </row>
    <row r="45" spans="1:28" x14ac:dyDescent="0.3">
      <c r="A45" s="1">
        <v>46070</v>
      </c>
      <c r="B45" s="2">
        <v>0.83333333333333337</v>
      </c>
      <c r="C45">
        <v>18</v>
      </c>
      <c r="D45">
        <v>0</v>
      </c>
      <c r="E45">
        <v>75</v>
      </c>
      <c r="F45">
        <v>2</v>
      </c>
      <c r="G45">
        <v>1016</v>
      </c>
      <c r="H45">
        <v>0</v>
      </c>
      <c r="I45">
        <v>85</v>
      </c>
      <c r="J45">
        <v>241</v>
      </c>
      <c r="M45" s="4">
        <v>1</v>
      </c>
      <c r="N45" s="4">
        <v>18</v>
      </c>
      <c r="AA45" s="4">
        <v>75</v>
      </c>
      <c r="AB45" s="4">
        <v>75</v>
      </c>
    </row>
    <row r="46" spans="1:28" x14ac:dyDescent="0.3">
      <c r="A46" s="1">
        <v>46071</v>
      </c>
      <c r="B46" s="2">
        <v>0.83333333333333337</v>
      </c>
      <c r="C46">
        <v>9</v>
      </c>
      <c r="D46">
        <v>2</v>
      </c>
      <c r="E46">
        <v>75</v>
      </c>
      <c r="F46">
        <v>0</v>
      </c>
      <c r="G46">
        <v>1025</v>
      </c>
      <c r="H46">
        <v>2</v>
      </c>
      <c r="I46">
        <v>74</v>
      </c>
      <c r="J46">
        <v>230</v>
      </c>
      <c r="M46" s="4">
        <v>10</v>
      </c>
      <c r="N46" s="4">
        <v>9</v>
      </c>
      <c r="AA46" s="4">
        <v>75</v>
      </c>
      <c r="AB46" s="4">
        <v>75</v>
      </c>
    </row>
    <row r="47" spans="1:28" x14ac:dyDescent="0.3">
      <c r="A47" s="1">
        <v>46072</v>
      </c>
      <c r="B47" s="2">
        <v>0.83333333333333337</v>
      </c>
      <c r="C47">
        <v>16</v>
      </c>
      <c r="D47">
        <v>0</v>
      </c>
      <c r="E47">
        <v>75</v>
      </c>
      <c r="F47">
        <v>0</v>
      </c>
      <c r="G47">
        <v>1041</v>
      </c>
      <c r="H47">
        <v>2</v>
      </c>
      <c r="I47">
        <v>58</v>
      </c>
      <c r="J47">
        <v>214</v>
      </c>
      <c r="M47" s="4">
        <v>13</v>
      </c>
      <c r="N47" s="4">
        <v>16</v>
      </c>
      <c r="AA47" s="4">
        <v>64</v>
      </c>
      <c r="AB47" s="4">
        <v>75</v>
      </c>
    </row>
    <row r="48" spans="1:28" x14ac:dyDescent="0.3">
      <c r="A48" s="1">
        <v>46073</v>
      </c>
      <c r="B48" s="2">
        <v>0.83333333333333337</v>
      </c>
      <c r="C48">
        <v>21</v>
      </c>
      <c r="D48">
        <v>0</v>
      </c>
      <c r="E48">
        <v>75</v>
      </c>
      <c r="F48">
        <v>0</v>
      </c>
      <c r="G48">
        <v>1062</v>
      </c>
      <c r="H48">
        <v>2</v>
      </c>
      <c r="I48">
        <v>37</v>
      </c>
      <c r="J48">
        <v>193</v>
      </c>
      <c r="M48" s="4">
        <v>18</v>
      </c>
      <c r="N48" s="4">
        <v>21</v>
      </c>
      <c r="AA48" s="4">
        <v>54</v>
      </c>
      <c r="AB48" s="4">
        <v>75</v>
      </c>
    </row>
    <row r="49" spans="1:28" x14ac:dyDescent="0.3">
      <c r="A49" s="1">
        <v>46074</v>
      </c>
      <c r="B49" s="2">
        <v>0.83333333333333337</v>
      </c>
      <c r="C49">
        <v>19</v>
      </c>
      <c r="D49">
        <v>0</v>
      </c>
      <c r="E49">
        <v>73</v>
      </c>
      <c r="F49">
        <v>2</v>
      </c>
      <c r="G49">
        <v>1081</v>
      </c>
      <c r="H49">
        <v>2</v>
      </c>
      <c r="I49">
        <v>18</v>
      </c>
      <c r="J49">
        <v>174</v>
      </c>
      <c r="M49" s="4">
        <v>19</v>
      </c>
      <c r="N49" s="4">
        <v>19</v>
      </c>
      <c r="AA49" s="4">
        <v>61</v>
      </c>
      <c r="AB49" s="4">
        <v>73</v>
      </c>
    </row>
    <row r="50" spans="1:28" x14ac:dyDescent="0.3">
      <c r="A50" s="1">
        <v>46075</v>
      </c>
      <c r="B50" s="2">
        <v>0.83333333333333337</v>
      </c>
      <c r="C50">
        <v>18</v>
      </c>
      <c r="D50">
        <v>0</v>
      </c>
      <c r="E50">
        <v>73</v>
      </c>
      <c r="F50">
        <v>2</v>
      </c>
      <c r="G50">
        <v>1099</v>
      </c>
      <c r="H50">
        <v>0</v>
      </c>
      <c r="I50">
        <v>110</v>
      </c>
      <c r="J50">
        <v>158</v>
      </c>
      <c r="M50" s="4">
        <v>20</v>
      </c>
      <c r="N50" s="4">
        <v>18</v>
      </c>
      <c r="AA50" s="4">
        <v>73</v>
      </c>
      <c r="AB50" s="4">
        <v>73</v>
      </c>
    </row>
    <row r="51" spans="1:28" x14ac:dyDescent="0.3">
      <c r="A51" s="1">
        <v>46076</v>
      </c>
      <c r="B51" s="2">
        <v>0.83333333333333337</v>
      </c>
      <c r="C51">
        <v>26</v>
      </c>
      <c r="D51">
        <v>2</v>
      </c>
      <c r="E51">
        <v>75</v>
      </c>
      <c r="F51">
        <v>0</v>
      </c>
      <c r="G51">
        <v>1125</v>
      </c>
      <c r="H51">
        <v>2</v>
      </c>
      <c r="I51">
        <v>82</v>
      </c>
      <c r="J51">
        <v>130</v>
      </c>
      <c r="M51" s="4">
        <v>8</v>
      </c>
      <c r="N51" s="4">
        <v>26</v>
      </c>
      <c r="AA51" s="4">
        <v>73</v>
      </c>
      <c r="AB51" s="4">
        <v>75</v>
      </c>
    </row>
    <row r="52" spans="1:28" x14ac:dyDescent="0.3">
      <c r="A52" s="1">
        <v>46077</v>
      </c>
      <c r="B52" s="2">
        <v>0.83333333333333337</v>
      </c>
      <c r="C52">
        <v>17</v>
      </c>
      <c r="D52">
        <v>0</v>
      </c>
      <c r="E52">
        <v>75</v>
      </c>
      <c r="F52">
        <v>0</v>
      </c>
      <c r="G52">
        <v>1142</v>
      </c>
      <c r="H52">
        <v>2</v>
      </c>
      <c r="I52">
        <v>65</v>
      </c>
      <c r="J52">
        <v>113</v>
      </c>
      <c r="M52" s="4">
        <v>10</v>
      </c>
      <c r="N52" s="4">
        <v>17</v>
      </c>
      <c r="AA52" s="4">
        <v>75</v>
      </c>
      <c r="AB52" s="4">
        <v>75</v>
      </c>
    </row>
    <row r="53" spans="1:28" x14ac:dyDescent="0.3">
      <c r="A53" s="1">
        <v>46078</v>
      </c>
      <c r="B53" s="2">
        <v>0.83333333333333337</v>
      </c>
      <c r="C53">
        <v>10</v>
      </c>
      <c r="D53">
        <v>0</v>
      </c>
      <c r="E53">
        <v>75</v>
      </c>
      <c r="F53">
        <v>0</v>
      </c>
      <c r="G53">
        <v>1152</v>
      </c>
      <c r="H53">
        <v>2</v>
      </c>
      <c r="I53">
        <v>55</v>
      </c>
      <c r="J53">
        <v>103</v>
      </c>
      <c r="M53" s="4">
        <v>16</v>
      </c>
      <c r="N53" s="4">
        <v>10</v>
      </c>
      <c r="AA53" s="4">
        <v>75</v>
      </c>
      <c r="AB53" s="4">
        <v>75</v>
      </c>
    </row>
    <row r="54" spans="1:28" x14ac:dyDescent="0.3">
      <c r="A54" s="1">
        <v>46079</v>
      </c>
      <c r="B54" s="2">
        <v>0.83333333333333337</v>
      </c>
      <c r="C54">
        <v>15</v>
      </c>
      <c r="D54">
        <v>0</v>
      </c>
      <c r="E54">
        <v>73</v>
      </c>
      <c r="F54">
        <v>2</v>
      </c>
      <c r="G54">
        <v>1167</v>
      </c>
      <c r="H54">
        <v>2</v>
      </c>
      <c r="I54">
        <v>40</v>
      </c>
      <c r="J54">
        <v>88</v>
      </c>
      <c r="M54" s="4">
        <v>11</v>
      </c>
      <c r="N54" s="4">
        <v>15</v>
      </c>
      <c r="AA54" s="4">
        <v>68</v>
      </c>
      <c r="AB54" s="4">
        <v>73</v>
      </c>
    </row>
    <row r="55" spans="1:28" x14ac:dyDescent="0.3">
      <c r="A55" s="1">
        <v>46080</v>
      </c>
      <c r="B55" s="2">
        <v>0.83333333333333337</v>
      </c>
      <c r="C55">
        <v>15</v>
      </c>
      <c r="D55">
        <v>0</v>
      </c>
      <c r="E55">
        <v>67</v>
      </c>
      <c r="F55">
        <v>2</v>
      </c>
      <c r="G55">
        <v>1182</v>
      </c>
      <c r="H55">
        <v>2</v>
      </c>
      <c r="I55">
        <v>25</v>
      </c>
      <c r="J55">
        <v>73</v>
      </c>
      <c r="M55" s="4">
        <v>14</v>
      </c>
      <c r="N55" s="4">
        <v>15</v>
      </c>
      <c r="AA55" s="4">
        <v>70</v>
      </c>
      <c r="AB55" s="4">
        <v>67</v>
      </c>
    </row>
    <row r="56" spans="1:28" x14ac:dyDescent="0.3">
      <c r="A56" s="1">
        <v>46081</v>
      </c>
      <c r="B56" s="2">
        <v>0.83333333333333337</v>
      </c>
      <c r="C56">
        <v>13</v>
      </c>
      <c r="D56">
        <v>0</v>
      </c>
      <c r="E56">
        <v>67</v>
      </c>
      <c r="F56">
        <v>0</v>
      </c>
      <c r="G56">
        <v>1195</v>
      </c>
      <c r="H56">
        <v>2</v>
      </c>
      <c r="I56">
        <v>12</v>
      </c>
      <c r="J56">
        <v>60</v>
      </c>
      <c r="M56" s="4">
        <v>16</v>
      </c>
      <c r="N56" s="4">
        <v>13</v>
      </c>
      <c r="AA56" s="4">
        <v>66</v>
      </c>
      <c r="AB56" s="4">
        <v>67</v>
      </c>
    </row>
    <row r="57" spans="1:28" x14ac:dyDescent="0.3">
      <c r="A57" s="1">
        <v>46082</v>
      </c>
      <c r="B57" s="2">
        <v>0.83333333333333337</v>
      </c>
      <c r="C57">
        <v>12</v>
      </c>
      <c r="D57">
        <v>0</v>
      </c>
      <c r="E57">
        <v>64</v>
      </c>
      <c r="F57">
        <v>0</v>
      </c>
      <c r="G57">
        <v>1207</v>
      </c>
      <c r="H57">
        <v>0</v>
      </c>
      <c r="I57">
        <v>21</v>
      </c>
      <c r="J57">
        <v>50</v>
      </c>
      <c r="M57" s="4">
        <v>31</v>
      </c>
      <c r="N57" s="4">
        <v>12</v>
      </c>
      <c r="AA57" s="4">
        <v>73</v>
      </c>
      <c r="AB57" s="4">
        <v>64</v>
      </c>
    </row>
    <row r="58" spans="1:28" x14ac:dyDescent="0.3">
      <c r="A58" s="1">
        <v>46083</v>
      </c>
      <c r="B58" s="2">
        <v>0.83333333333333337</v>
      </c>
      <c r="C58">
        <v>13</v>
      </c>
      <c r="D58">
        <v>0</v>
      </c>
      <c r="E58">
        <v>67</v>
      </c>
      <c r="F58">
        <v>2</v>
      </c>
      <c r="G58">
        <v>1220</v>
      </c>
      <c r="H58">
        <v>0</v>
      </c>
      <c r="I58">
        <v>8</v>
      </c>
      <c r="J58">
        <v>37</v>
      </c>
      <c r="M58" s="4">
        <v>6</v>
      </c>
      <c r="N58" s="4">
        <v>13</v>
      </c>
      <c r="AA58" s="4">
        <v>75</v>
      </c>
      <c r="AB58" s="4">
        <v>67</v>
      </c>
    </row>
    <row r="59" spans="1:28" x14ac:dyDescent="0.3">
      <c r="A59" s="1">
        <v>46084</v>
      </c>
      <c r="B59" s="2">
        <v>0.83333333333333337</v>
      </c>
      <c r="C59">
        <v>4</v>
      </c>
      <c r="D59">
        <v>0</v>
      </c>
      <c r="E59">
        <v>53</v>
      </c>
      <c r="F59">
        <v>2</v>
      </c>
      <c r="G59">
        <v>1224</v>
      </c>
      <c r="H59">
        <v>0</v>
      </c>
      <c r="I59">
        <v>4</v>
      </c>
      <c r="J59">
        <v>33</v>
      </c>
      <c r="M59" s="4">
        <v>7</v>
      </c>
      <c r="N59" s="4">
        <v>4</v>
      </c>
      <c r="AA59" s="4">
        <v>75</v>
      </c>
      <c r="AB59" s="4">
        <v>53</v>
      </c>
    </row>
    <row r="60" spans="1:28" x14ac:dyDescent="0.3">
      <c r="A60" s="1">
        <v>46085</v>
      </c>
      <c r="B60" s="2">
        <v>0.83333333333333337</v>
      </c>
      <c r="C60">
        <v>1</v>
      </c>
      <c r="D60">
        <v>0</v>
      </c>
      <c r="E60">
        <v>44</v>
      </c>
      <c r="F60">
        <v>0</v>
      </c>
      <c r="G60">
        <v>1225</v>
      </c>
      <c r="H60">
        <v>0</v>
      </c>
      <c r="I60">
        <v>3</v>
      </c>
      <c r="J60">
        <v>32</v>
      </c>
      <c r="M60" s="4">
        <v>5</v>
      </c>
      <c r="N60" s="4">
        <v>1</v>
      </c>
      <c r="AA60" s="4">
        <v>69</v>
      </c>
      <c r="AB60" s="4">
        <v>44</v>
      </c>
    </row>
    <row r="61" spans="1:28" x14ac:dyDescent="0.3">
      <c r="A61" s="1">
        <v>46086</v>
      </c>
      <c r="B61" s="2">
        <v>0.83333333333333337</v>
      </c>
      <c r="C61">
        <v>1</v>
      </c>
      <c r="D61">
        <v>0</v>
      </c>
      <c r="E61">
        <v>32</v>
      </c>
      <c r="F61">
        <v>0</v>
      </c>
      <c r="G61">
        <v>1226</v>
      </c>
      <c r="H61">
        <v>0</v>
      </c>
      <c r="I61">
        <v>2</v>
      </c>
      <c r="J61">
        <v>31</v>
      </c>
      <c r="M61" s="4">
        <v>3</v>
      </c>
      <c r="N61" s="4">
        <v>1</v>
      </c>
      <c r="AA61" s="4">
        <v>60</v>
      </c>
      <c r="AB61" s="4">
        <v>32</v>
      </c>
    </row>
    <row r="62" spans="1:28" x14ac:dyDescent="0.3">
      <c r="A62" s="1">
        <v>46087</v>
      </c>
      <c r="B62" s="2">
        <v>0.83333333333333337</v>
      </c>
      <c r="C62">
        <v>0</v>
      </c>
      <c r="D62">
        <v>0</v>
      </c>
      <c r="E62">
        <v>21</v>
      </c>
      <c r="F62">
        <v>0</v>
      </c>
      <c r="G62">
        <v>1226</v>
      </c>
      <c r="H62">
        <v>0</v>
      </c>
      <c r="I62">
        <v>2</v>
      </c>
      <c r="J62">
        <v>31</v>
      </c>
      <c r="M62" s="4">
        <v>4</v>
      </c>
      <c r="N62" s="4">
        <v>0</v>
      </c>
      <c r="AA62" s="4">
        <v>37</v>
      </c>
      <c r="AB62" s="4">
        <v>21</v>
      </c>
    </row>
    <row r="63" spans="1:28" x14ac:dyDescent="0.3">
      <c r="A63" s="1">
        <v>46088</v>
      </c>
      <c r="B63" s="2">
        <v>0.83333333333333337</v>
      </c>
      <c r="C63">
        <v>2</v>
      </c>
      <c r="D63">
        <v>0</v>
      </c>
      <c r="E63">
        <v>9</v>
      </c>
      <c r="F63">
        <v>2</v>
      </c>
      <c r="G63">
        <v>1228</v>
      </c>
      <c r="H63">
        <v>0</v>
      </c>
      <c r="I63">
        <v>0</v>
      </c>
      <c r="J63">
        <v>29</v>
      </c>
      <c r="M63" s="4">
        <v>2</v>
      </c>
      <c r="N63" s="4">
        <v>2</v>
      </c>
      <c r="AA63" s="4">
        <v>21</v>
      </c>
      <c r="AB63" s="4">
        <v>9</v>
      </c>
    </row>
    <row r="64" spans="1:28" x14ac:dyDescent="0.3">
      <c r="A64" s="1">
        <v>46089</v>
      </c>
      <c r="B64" s="2">
        <v>0.83333333333333337</v>
      </c>
      <c r="C64">
        <v>0</v>
      </c>
      <c r="D64">
        <v>0</v>
      </c>
      <c r="E64">
        <v>2</v>
      </c>
      <c r="F64">
        <v>2</v>
      </c>
      <c r="G64">
        <v>1228</v>
      </c>
      <c r="H64">
        <v>0</v>
      </c>
      <c r="I64">
        <v>2</v>
      </c>
      <c r="J64">
        <v>29</v>
      </c>
      <c r="M64" s="4">
        <v>6</v>
      </c>
      <c r="N64" s="4">
        <v>0</v>
      </c>
      <c r="AA64" s="4">
        <v>18</v>
      </c>
      <c r="AB64" s="4">
        <v>2</v>
      </c>
    </row>
    <row r="65" spans="1:14" x14ac:dyDescent="0.3">
      <c r="A65" s="1">
        <v>46090</v>
      </c>
      <c r="B65" s="2">
        <v>0.83333333333333337</v>
      </c>
      <c r="C65">
        <v>0</v>
      </c>
      <c r="D65">
        <v>0</v>
      </c>
      <c r="E65">
        <v>3</v>
      </c>
      <c r="F65">
        <v>0</v>
      </c>
      <c r="G65">
        <v>1228</v>
      </c>
      <c r="H65">
        <v>0</v>
      </c>
      <c r="I65">
        <v>2</v>
      </c>
      <c r="J65">
        <v>29</v>
      </c>
      <c r="M65">
        <f xml:space="preserve"> SUM(M2:M64)</f>
        <v>1237</v>
      </c>
      <c r="N65">
        <f xml:space="preserve"> SUM(N2:N64)</f>
        <v>1228</v>
      </c>
    </row>
    <row r="66" spans="1:14" x14ac:dyDescent="0.3">
      <c r="A66" s="1">
        <v>46091</v>
      </c>
      <c r="B66" s="2">
        <v>0.83333333333333337</v>
      </c>
      <c r="C66">
        <v>0</v>
      </c>
      <c r="D66">
        <v>0</v>
      </c>
      <c r="E66">
        <v>2</v>
      </c>
      <c r="F66">
        <v>0</v>
      </c>
      <c r="G66">
        <v>1228</v>
      </c>
      <c r="H66">
        <v>0</v>
      </c>
      <c r="I66">
        <v>2</v>
      </c>
      <c r="J66">
        <v>29</v>
      </c>
      <c r="M66">
        <f xml:space="preserve"> AVERAGE(M2:M64)</f>
        <v>19.634920634920636</v>
      </c>
      <c r="N66">
        <f xml:space="preserve"> AVERAGE(N2:N64)</f>
        <v>19.49206349206349</v>
      </c>
    </row>
    <row r="67" spans="1:14" x14ac:dyDescent="0.3">
      <c r="A67" s="1">
        <v>46092</v>
      </c>
      <c r="B67" s="2">
        <v>0.83333333333333337</v>
      </c>
      <c r="C67">
        <v>0</v>
      </c>
      <c r="D67">
        <v>0</v>
      </c>
      <c r="E67">
        <v>2</v>
      </c>
      <c r="F67">
        <v>0</v>
      </c>
      <c r="G67">
        <v>1228</v>
      </c>
      <c r="H67">
        <v>0</v>
      </c>
      <c r="I67">
        <v>2</v>
      </c>
      <c r="J67">
        <v>29</v>
      </c>
    </row>
    <row r="68" spans="1:14" x14ac:dyDescent="0.3">
      <c r="A68" s="1">
        <v>46093</v>
      </c>
      <c r="B68" s="2">
        <v>0.83333333333333337</v>
      </c>
      <c r="C68">
        <v>2</v>
      </c>
      <c r="D68">
        <v>0</v>
      </c>
      <c r="E68">
        <v>0</v>
      </c>
      <c r="F68">
        <v>2</v>
      </c>
      <c r="G68">
        <v>1230</v>
      </c>
      <c r="H68">
        <v>0</v>
      </c>
      <c r="I68">
        <v>0</v>
      </c>
      <c r="J68">
        <v>27</v>
      </c>
    </row>
    <row r="69" spans="1:14" x14ac:dyDescent="0.3">
      <c r="A69" s="1">
        <v>46094</v>
      </c>
      <c r="B69" s="2">
        <v>0.83333333333333337</v>
      </c>
      <c r="C69">
        <v>0</v>
      </c>
      <c r="D69">
        <v>0</v>
      </c>
      <c r="E69">
        <v>0</v>
      </c>
      <c r="F69">
        <v>2</v>
      </c>
      <c r="G69">
        <v>1230</v>
      </c>
      <c r="H69">
        <v>0</v>
      </c>
      <c r="I69">
        <v>0</v>
      </c>
      <c r="J69">
        <v>27</v>
      </c>
    </row>
    <row r="70" spans="1:14" x14ac:dyDescent="0.3">
      <c r="A70" s="1">
        <v>46095</v>
      </c>
      <c r="B70" s="2">
        <v>0.83333333333333337</v>
      </c>
      <c r="C70">
        <v>0</v>
      </c>
      <c r="D70">
        <v>0</v>
      </c>
      <c r="E70">
        <v>2</v>
      </c>
      <c r="F70">
        <v>0</v>
      </c>
      <c r="G70">
        <v>1230</v>
      </c>
      <c r="H70">
        <v>0</v>
      </c>
      <c r="I70">
        <v>0</v>
      </c>
      <c r="J70">
        <v>27</v>
      </c>
    </row>
    <row r="71" spans="1:14" x14ac:dyDescent="0.3">
      <c r="A71" s="1">
        <v>46096</v>
      </c>
      <c r="B71" s="2">
        <v>0.83333333333333337</v>
      </c>
      <c r="C71">
        <v>0</v>
      </c>
      <c r="D71">
        <v>0</v>
      </c>
      <c r="E71">
        <v>2</v>
      </c>
      <c r="F71">
        <v>0</v>
      </c>
      <c r="G71">
        <v>1230</v>
      </c>
      <c r="H71">
        <v>0</v>
      </c>
      <c r="I71">
        <v>4</v>
      </c>
      <c r="J71">
        <v>27</v>
      </c>
    </row>
    <row r="72" spans="1:14" x14ac:dyDescent="0.3">
      <c r="A72" s="1">
        <v>46097</v>
      </c>
      <c r="B72" s="2">
        <v>0.83333333333333337</v>
      </c>
      <c r="C72">
        <v>2</v>
      </c>
      <c r="D72">
        <v>0</v>
      </c>
      <c r="E72">
        <v>2</v>
      </c>
      <c r="F72">
        <v>2</v>
      </c>
      <c r="G72">
        <v>1232</v>
      </c>
      <c r="H72">
        <v>0</v>
      </c>
      <c r="I72">
        <v>2</v>
      </c>
      <c r="J72">
        <v>25</v>
      </c>
    </row>
    <row r="73" spans="1:14" x14ac:dyDescent="0.3">
      <c r="A73" s="1">
        <v>46098</v>
      </c>
      <c r="B73" s="2">
        <v>0.83333333333333337</v>
      </c>
      <c r="C73">
        <v>0</v>
      </c>
      <c r="D73">
        <v>0</v>
      </c>
      <c r="E73">
        <v>0</v>
      </c>
      <c r="F73">
        <v>2</v>
      </c>
      <c r="G73">
        <v>1232</v>
      </c>
      <c r="H73">
        <v>0</v>
      </c>
      <c r="I73">
        <v>2</v>
      </c>
      <c r="J73">
        <v>25</v>
      </c>
    </row>
    <row r="74" spans="1:14" x14ac:dyDescent="0.3">
      <c r="A74" s="1">
        <v>46099</v>
      </c>
      <c r="B74" s="2">
        <v>0.83333333333333337</v>
      </c>
      <c r="C74">
        <v>0</v>
      </c>
      <c r="D74">
        <v>0</v>
      </c>
      <c r="E74">
        <v>2</v>
      </c>
      <c r="F74">
        <v>0</v>
      </c>
      <c r="G74">
        <v>1232</v>
      </c>
      <c r="H74">
        <v>0</v>
      </c>
      <c r="I74">
        <v>2</v>
      </c>
      <c r="J74">
        <v>25</v>
      </c>
    </row>
    <row r="75" spans="1:14" x14ac:dyDescent="0.3">
      <c r="A75" s="1">
        <v>46100</v>
      </c>
      <c r="B75" s="2">
        <v>0.83333333333333337</v>
      </c>
      <c r="C75">
        <v>0</v>
      </c>
      <c r="D75">
        <v>0</v>
      </c>
      <c r="E75">
        <v>2</v>
      </c>
      <c r="F75">
        <v>0</v>
      </c>
      <c r="G75">
        <v>1232</v>
      </c>
      <c r="H75">
        <v>0</v>
      </c>
      <c r="I75">
        <v>2</v>
      </c>
      <c r="J75">
        <v>25</v>
      </c>
    </row>
    <row r="76" spans="1:14" x14ac:dyDescent="0.3">
      <c r="A76" s="1">
        <v>46101</v>
      </c>
      <c r="B76" s="2">
        <v>0.83333333333333337</v>
      </c>
      <c r="C76">
        <v>0</v>
      </c>
      <c r="D76">
        <v>0</v>
      </c>
      <c r="E76">
        <v>2</v>
      </c>
      <c r="F76">
        <v>0</v>
      </c>
      <c r="G76">
        <v>1232</v>
      </c>
      <c r="H76">
        <v>0</v>
      </c>
      <c r="I76">
        <v>2</v>
      </c>
      <c r="J76">
        <v>25</v>
      </c>
    </row>
    <row r="77" spans="1:14" x14ac:dyDescent="0.3">
      <c r="A77" s="1">
        <v>46102</v>
      </c>
      <c r="B77" s="2">
        <v>0.83333333333333337</v>
      </c>
      <c r="C77">
        <v>2</v>
      </c>
      <c r="D77">
        <v>0</v>
      </c>
      <c r="E77">
        <v>0</v>
      </c>
      <c r="F77">
        <v>2</v>
      </c>
      <c r="G77">
        <v>1234</v>
      </c>
      <c r="H77">
        <v>0</v>
      </c>
      <c r="I77">
        <v>0</v>
      </c>
      <c r="J77">
        <v>23</v>
      </c>
    </row>
    <row r="78" spans="1:14" x14ac:dyDescent="0.3">
      <c r="A78" s="1"/>
      <c r="B78" s="2"/>
      <c r="C78">
        <f>AVERAGE(C2:C77)</f>
        <v>16.236842105263158</v>
      </c>
      <c r="D78">
        <f>SUM(Tabla1[Canceladas_Hoy])</f>
        <v>49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Resumen_Historico_Acumulado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Agustín Amigo Peña</dc:creator>
  <cp:lastModifiedBy>Agustín Amigo Peña</cp:lastModifiedBy>
  <dcterms:created xsi:type="dcterms:W3CDTF">2026-06-22T23:04:33Z</dcterms:created>
  <dcterms:modified xsi:type="dcterms:W3CDTF">2026-06-23T02:48:46Z</dcterms:modified>
</cp:coreProperties>
</file>